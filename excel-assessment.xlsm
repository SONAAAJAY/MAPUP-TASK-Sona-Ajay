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onaajay\Downloads\"/>
    </mc:Choice>
  </mc:AlternateContent>
  <xr:revisionPtr revIDLastSave="0" documentId="8_{E94922B4-20CC-4F48-9EF4-64D6EB6649F2}" xr6:coauthVersionLast="47" xr6:coauthVersionMax="47" xr10:uidLastSave="{00000000-0000-0000-0000-000000000000}"/>
  <bookViews>
    <workbookView xWindow="-120" yWindow="-120" windowWidth="20730" windowHeight="1104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 a="1"/>
  <c r="C22" i="19" s="1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8" i="18" s="1"/>
  <c r="C20" i="18"/>
  <c r="C21" i="18"/>
  <c r="C22" i="18"/>
  <c r="C23" i="18"/>
  <c r="C24" i="18"/>
  <c r="C25" i="18"/>
  <c r="C26" i="18"/>
  <c r="C27" i="18"/>
  <c r="C6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8" i="18" s="1"/>
  <c r="B20" i="18"/>
  <c r="B21" i="18"/>
  <c r="B22" i="18"/>
  <c r="B23" i="18"/>
  <c r="B24" i="18"/>
  <c r="B25" i="18"/>
  <c r="B26" i="18"/>
  <c r="B27" i="18"/>
  <c r="B7" i="18"/>
  <c r="B6" i="18"/>
  <c r="H41" i="1"/>
  <c r="H1048576" i="1" s="1"/>
  <c r="B29" i="18" l="1"/>
  <c r="C29" i="18"/>
  <c r="B30" i="18"/>
  <c r="C30" i="18"/>
  <c r="D28" i="18"/>
  <c r="D30" i="18" s="1"/>
  <c r="E28" i="18"/>
  <c r="E30" i="18" s="1"/>
  <c r="F28" i="18"/>
  <c r="F29" i="18" s="1"/>
  <c r="D29" i="18"/>
  <c r="E29" i="18"/>
  <c r="F30" i="18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<sst xmlns="http://schemas.openxmlformats.org/spreadsheetml/2006/main" count="407" uniqueCount="184">
  <si>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</si>
  <si>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</si>
  <si>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</si>
  <si>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</si>
  <si>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</si>
  <si>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</si>
  <si>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</si>
  <si>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</si>
  <si>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</si>
  <si>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</si>
  <si>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</si>
  <si>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</si>
  <si>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</si>
  <si>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</si>
  <si>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</si>
  <si>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</si>
  <si>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</si>
  <si>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</si>
  <si>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</si>
  <si>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</si>
  <si>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</si>
  <si>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</si>
  <si>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</si>
  <si>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</si>
  <si>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</si>
  <si>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</si>
  <si>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</si>
  <si>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</si>
  <si>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</si>
  <si>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</si>
  <si>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</si>
  <si>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</si>
  <si>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</si>
  <si>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</si>
  <si>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</si>
  <si>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</si>
  <si>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</si>
  <si>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</si>
  <si>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</si>
  <si>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</si>
  <si>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</si>
  <si>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</si>
  <si>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</si>
  <si>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</si>
  <si>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</si>
  <si>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</si>
  <si>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</si>
  <si>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</si>
  <si>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</si>
  <si>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</si>
  <si>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</si>
  <si>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</si>
  <si>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</si>
  <si>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</si>
  <si>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</si>
  <si>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</si>
  <si>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</si>
  <si>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</si>
  <si>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</si>
  <si>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</si>
  <si>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</si>
  <si>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</si>
  <si>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</si>
  <si>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</si>
  <si>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</si>
  <si>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</si>
  <si>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</si>
  <si>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</si>
  <si>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</si>
  <si>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</si>
  <si>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</si>
  <si>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</si>
  <si>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</si>
  <si>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</si>
  <si>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</si>
  <si>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</si>
  <si>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</si>
  <si>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</si>
  <si>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</si>
  <si>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</si>
  <si>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</si>
  <si>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</si>
  <si>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</si>
  <si>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</si>
  <si>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</si>
  <si>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</si>
  <si>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</si>
  <si>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</si>
  <si>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</si>
  <si>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</si>
  <si>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</si>
  <si>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</si>
  <si>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</si>
  <si>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</si>
  <si>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</si>
  <si>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</si>
  <si>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</si>
  <si>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</si>
  <si>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</si>
  <si>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</si>
  <si>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</si>
  <si>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</si>
  <si>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</si>
  <si>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</si>
  <si>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</si>
  <si>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</si>
  <si>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</si>
  <si>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</si>
  <si>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</si>
  <si>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</si>
  <si>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</si>
  <si>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</si>
  <si>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</si>
  <si>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</si>
  <si>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</si>
  <si>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</si>
  <si>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</si>
  <si>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</si>
  <si>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</si>
  <si>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</si>
  <si>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</si>
  <si>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</si>
  <si>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</si>
  <si>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</si>
  <si>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</si>
  <si>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</si>
  <si>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</si>
  <si>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</si>
  <si>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</si>
  <si>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</si>
  <si>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</si>
  <si>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</si>
  <si>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</si>
  <si>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</si>
  <si>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</si>
  <si>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</si>
  <si>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</si>
  <si>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</si>
  <si>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</si>
  <si>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</si>
  <si>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</si>
  <si>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</si>
  <si>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</si>
  <si>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</si>
  <si>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</si>
  <si>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</si>
  <si>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</si>
  <si>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</si>
  <si>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</si>
  <si>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</si>
  <si>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</si>
  <si>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</si>
  <si>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</si>
  <si>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</si>
  <si>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</si>
  <si>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</si>
  <si>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</si>
  <si>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</si>
  <si>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</si>
  <si>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</si>
  <si>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</si>
  <si>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</si>
  <si>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</si>
  <si>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</si>
  <si>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</si>
  <si>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</si>
  <si>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</si>
  <si>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</si>
  <si>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</si>
  <si>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</si>
  <si>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</si>
  <si>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</si>
  <si>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</si>
  <si>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</si>
  <si>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</si>
  <si>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car4</t>
  </si>
  <si>
    <t>car5</t>
  </si>
  <si>
    <t>SUMIF(H2:H40, "&gt;20")</t>
  </si>
  <si>
    <t xml:space="preserve">convert text to column and destination $B$16 </t>
  </si>
  <si>
    <t>splitted the data by using the text-to-column functionality and split using the char " -" and add to the destination</t>
  </si>
  <si>
    <t>INDEX($B$10:$J$18, MATCH(VLOOKUP(A23, $M$9:$N$18, 2, FALSE), $A$10:$A$18, 0), MATCH(VLOOKUP(B23, $M$9:$N$18, 2, FALSE), $A$10:$A$18, 0))</t>
  </si>
  <si>
    <t>This formula finds the IDs associated with the names in cells A23 and B23 from Table_B, locates the corresponding positions of these IDs in Table_A, and retrieves the value at the intersection of the identified row and column in Table_A using the INDEX function. This process is repeated for each row in the "value" column of Table_C</t>
  </si>
  <si>
    <t>SUM(IF(ISNA(C12:C21),20,C12:C21))</t>
  </si>
  <si>
    <t xml:space="preserve">Using the above formula substituted #NA with 20 and then performed sum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</si>
</sst>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3" fillId="6" borderId="0" xfId="0" applyFont="1" applyFill="1"/>
    <xf numFmtId="166" fontId="7" fillId="7" borderId="0" xfId="0" applyNumberFormat="1" applyFont="1" applyFill="1"/>
    <xf numFmtId="166" fontId="3" fillId="7" borderId="0" xfId="0" applyNumberFormat="1" applyFont="1" applyFill="1"/>
    <xf numFmtId="0" fontId="8" fillId="0" borderId="8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106</v>
      </c>
    </row>
    <row r="2" spans="1:3" x14ac:dyDescent="0.2">
      <c r="A2" s="2" t="s">
        <v>107</v>
      </c>
    </row>
    <row r="3" spans="1:3" x14ac:dyDescent="0.2">
      <c r="A3" s="2" t="s">
        <v>108</v>
      </c>
    </row>
    <row r="4" spans="1:3" ht="15" x14ac:dyDescent="0.25">
      <c r="A4" s="2" t="s">
        <v>109</v>
      </c>
      <c r="C4" s="1"/>
    </row>
    <row r="5" spans="1:3" x14ac:dyDescent="0.2">
      <c r="A5" s="2" t="s">
        <v>150</v>
      </c>
    </row>
    <row r="8" spans="1:3" x14ac:dyDescent="0.2">
      <c r="A8" s="2" t="s">
        <v>171</v>
      </c>
    </row>
    <row r="9" spans="1:3" x14ac:dyDescent="0.2">
      <c r="A9" s="36" t="s">
        <v>169</v>
      </c>
      <c r="B9" s="26" t="s">
        <v>167</v>
      </c>
    </row>
    <row r="10" spans="1:3" x14ac:dyDescent="0.2">
      <c r="A10" s="35" t="s">
        <v>170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83</v>
      </c>
      <c r="B13" s="37">
        <v>20</v>
      </c>
    </row>
    <row r="14" spans="1:3" x14ac:dyDescent="0.2">
      <c r="A14" s="35" t="s">
        <v>96</v>
      </c>
      <c r="B14" s="37">
        <v>40</v>
      </c>
    </row>
    <row r="15" spans="1:3" x14ac:dyDescent="0.2">
      <c r="A15" s="38" t="s">
        <v>168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1048576"/>
  <sheetViews>
    <sheetView topLeftCell="I1" zoomScaleNormal="100" workbookViewId="0">
      <pane ySplit="1" topLeftCell="A2" activePane="bottomLeft" state="frozen"/>
      <selection pane="bottomLeft" activeCell="G3" sqref="G3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77</v>
      </c>
      <c r="H1" s="29" t="s">
        <v>65</v>
      </c>
      <c r="I1" s="29" t="s">
        <v>66</v>
      </c>
      <c r="J1" s="29" t="s">
        <v>175</v>
      </c>
      <c r="K1" s="29" t="s">
        <v>176</v>
      </c>
      <c r="L1" s="30" t="s">
        <v>67</v>
      </c>
      <c r="M1" s="29" t="s">
        <v>68</v>
      </c>
      <c r="N1" s="29" t="s">
        <v>69</v>
      </c>
      <c r="O1" s="29" t="s">
        <v>70</v>
      </c>
      <c r="P1" s="30" t="s">
        <v>71</v>
      </c>
      <c r="Q1" s="30" t="s">
        <v>72</v>
      </c>
      <c r="R1" s="30" t="s">
        <v>73</v>
      </c>
      <c r="S1" s="29" t="s">
        <v>78</v>
      </c>
      <c r="T1" s="29" t="s">
        <v>74</v>
      </c>
      <c r="U1" s="30" t="s">
        <v>79</v>
      </c>
      <c r="V1" s="30" t="s">
        <v>75</v>
      </c>
      <c r="W1" s="30" t="s">
        <v>76</v>
      </c>
      <c r="X1" s="46" t="s">
        <v>103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25">
      <c r="H41" s="45">
        <f>SUMIF(H2:H40, "&gt;20")</f>
        <v>1473.0000000000002</v>
      </c>
    </row>
    <row r="1048576" spans="8:8" x14ac:dyDescent="0.25">
      <c r="H1048576" s="1">
        <f>SUM(H2:H1048575)</f>
        <v>3013.5000000000005</v>
      </c>
    </row>
  </sheetData>
  <phoneticPr fontId="10" type="noConversion"/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F1:X40">
    <cfRule type="cellIs" dxfId="1" priority="2" operator="equal">
      <formula>-1</formula>
    </cfRule>
  </conditionalFormatting>
  <conditionalFormatting sqref="G4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174</v>
      </c>
    </row>
    <row r="2" spans="1:5" x14ac:dyDescent="0.25">
      <c r="A2" s="2"/>
      <c r="B2" s="5" t="s">
        <v>158</v>
      </c>
      <c r="C2" s="2"/>
    </row>
    <row r="3" spans="1:5" x14ac:dyDescent="0.25">
      <c r="A3" s="6">
        <v>1</v>
      </c>
      <c r="B3" s="2" t="s">
        <v>105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102</v>
      </c>
      <c r="C5" s="34" t="s">
        <v>177</v>
      </c>
      <c r="E5" s="1">
        <v>10</v>
      </c>
    </row>
    <row r="6" spans="1:5" x14ac:dyDescent="0.25">
      <c r="A6" s="6">
        <v>4</v>
      </c>
      <c r="B6" s="2" t="s">
        <v>104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I29" sqref="I29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162</v>
      </c>
    </row>
    <row r="2" spans="1:7" s="41" customFormat="1" ht="21" x14ac:dyDescent="0.35">
      <c r="B2" s="41" t="s">
        <v>159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160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77</v>
      </c>
      <c r="C5" s="22" t="s">
        <v>69</v>
      </c>
      <c r="D5" s="21" t="s">
        <v>73</v>
      </c>
      <c r="E5" s="22" t="s">
        <v>74</v>
      </c>
      <c r="F5" s="23" t="s">
        <v>75</v>
      </c>
    </row>
    <row r="6" spans="1:7" ht="15" x14ac:dyDescent="0.25">
      <c r="A6" s="7" t="s">
        <v>40</v>
      </c>
      <c r="B6" s="12">
        <f>Dataset!G2</f>
        <v>2.7</v>
      </c>
      <c r="C6" s="12">
        <f>Dataset!N2</f>
        <v>7.6</v>
      </c>
      <c r="D6" s="12">
        <f>Dataset!R2</f>
        <v>4.2</v>
      </c>
      <c r="E6" s="12">
        <f>Dataset!T2</f>
        <v>8.9</v>
      </c>
      <c r="F6" s="8">
        <f>Dataset!V2</f>
        <v>4.2</v>
      </c>
    </row>
    <row r="7" spans="1:7" ht="15" x14ac:dyDescent="0.25">
      <c r="A7" s="7" t="s">
        <v>4</v>
      </c>
      <c r="B7" s="12">
        <f>Dataset!G3</f>
        <v>2.7</v>
      </c>
      <c r="C7" s="12">
        <f>Dataset!N3</f>
        <v>7.6</v>
      </c>
      <c r="D7" s="12">
        <f>Dataset!R3</f>
        <v>4.2</v>
      </c>
      <c r="E7" s="12">
        <f>Dataset!T3</f>
        <v>8.9</v>
      </c>
      <c r="F7" s="8">
        <f>Dataset!V3</f>
        <v>4.2</v>
      </c>
    </row>
    <row r="8" spans="1:7" ht="15" x14ac:dyDescent="0.25">
      <c r="A8" s="7" t="s">
        <v>7</v>
      </c>
      <c r="B8" s="12">
        <f>Dataset!G4</f>
        <v>3.6</v>
      </c>
      <c r="C8" s="12">
        <f>Dataset!N4</f>
        <v>11.1</v>
      </c>
      <c r="D8" s="12">
        <f>Dataset!R4</f>
        <v>5.8</v>
      </c>
      <c r="E8" s="12">
        <f>Dataset!T4</f>
        <v>12.2</v>
      </c>
      <c r="F8" s="8">
        <f>Dataset!V4</f>
        <v>5.8</v>
      </c>
    </row>
    <row r="9" spans="1:7" ht="15" x14ac:dyDescent="0.25">
      <c r="A9" s="7" t="s">
        <v>8</v>
      </c>
      <c r="B9" s="12">
        <f>Dataset!G5</f>
        <v>4.9000000000000004</v>
      </c>
      <c r="C9" s="12">
        <f>Dataset!N5</f>
        <v>13.3</v>
      </c>
      <c r="D9" s="12">
        <f>Dataset!R5</f>
        <v>8.1</v>
      </c>
      <c r="E9" s="12">
        <f>Dataset!T5</f>
        <v>17</v>
      </c>
      <c r="F9" s="8">
        <f>Dataset!V5</f>
        <v>8.1</v>
      </c>
    </row>
    <row r="10" spans="1:7" ht="15" x14ac:dyDescent="0.25">
      <c r="A10" s="7" t="s">
        <v>11</v>
      </c>
      <c r="B10" s="12">
        <f>Dataset!G6</f>
        <v>6.6</v>
      </c>
      <c r="C10" s="12">
        <f>Dataset!N6</f>
        <v>18</v>
      </c>
      <c r="D10" s="12">
        <f>Dataset!R6</f>
        <v>11</v>
      </c>
      <c r="E10" s="12">
        <f>Dataset!T6</f>
        <v>22.5</v>
      </c>
      <c r="F10" s="8">
        <f>Dataset!V6</f>
        <v>11</v>
      </c>
    </row>
    <row r="11" spans="1:7" ht="15" x14ac:dyDescent="0.25">
      <c r="A11" s="7" t="s">
        <v>12</v>
      </c>
      <c r="B11" s="12">
        <f>Dataset!G7</f>
        <v>7.1</v>
      </c>
      <c r="C11" s="12">
        <f>Dataset!N7</f>
        <v>21.5</v>
      </c>
      <c r="D11" s="12">
        <f>Dataset!R7</f>
        <v>12.8</v>
      </c>
      <c r="E11" s="12">
        <f>Dataset!T7</f>
        <v>26.1</v>
      </c>
      <c r="F11" s="8">
        <f>Dataset!V7</f>
        <v>12.8</v>
      </c>
    </row>
    <row r="12" spans="1:7" ht="15" x14ac:dyDescent="0.25">
      <c r="A12" s="7" t="s">
        <v>14</v>
      </c>
      <c r="B12" s="12">
        <f>Dataset!G8</f>
        <v>9.4</v>
      </c>
      <c r="C12" s="12">
        <f>Dataset!N8</f>
        <v>28.3</v>
      </c>
      <c r="D12" s="12">
        <f>Dataset!R8</f>
        <v>16.100000000000001</v>
      </c>
      <c r="E12" s="12">
        <f>Dataset!T8</f>
        <v>32.799999999999997</v>
      </c>
      <c r="F12" s="8">
        <f>Dataset!V8</f>
        <v>16.100000000000001</v>
      </c>
    </row>
    <row r="13" spans="1:7" ht="15" x14ac:dyDescent="0.25">
      <c r="A13" s="7" t="s">
        <v>15</v>
      </c>
      <c r="B13" s="12">
        <f>Dataset!G9</f>
        <v>11.6</v>
      </c>
      <c r="C13" s="12">
        <f>Dataset!N9</f>
        <v>35.200000000000003</v>
      </c>
      <c r="D13" s="12">
        <f>Dataset!R9</f>
        <v>21.3</v>
      </c>
      <c r="E13" s="12">
        <f>Dataset!T9</f>
        <v>43</v>
      </c>
      <c r="F13" s="8">
        <f>Dataset!V9</f>
        <v>21.3</v>
      </c>
    </row>
    <row r="14" spans="1:7" ht="15" x14ac:dyDescent="0.25">
      <c r="A14" s="7" t="s">
        <v>16</v>
      </c>
      <c r="B14" s="12">
        <f>Dataset!G10</f>
        <v>16.100000000000001</v>
      </c>
      <c r="C14" s="12">
        <f>Dataset!N10</f>
        <v>49</v>
      </c>
      <c r="D14" s="12">
        <f>Dataset!R10</f>
        <v>29.1</v>
      </c>
      <c r="E14" s="12">
        <f>Dataset!T10</f>
        <v>59</v>
      </c>
      <c r="F14" s="8">
        <f>Dataset!V10</f>
        <v>29.1</v>
      </c>
    </row>
    <row r="15" spans="1:7" ht="15" x14ac:dyDescent="0.25">
      <c r="A15" s="7" t="s">
        <v>18</v>
      </c>
      <c r="B15" s="12">
        <f>Dataset!G11</f>
        <v>18.399999999999999</v>
      </c>
      <c r="C15" s="12">
        <f>Dataset!N11</f>
        <v>55.6</v>
      </c>
      <c r="D15" s="12">
        <f>Dataset!R11</f>
        <v>33.799999999999997</v>
      </c>
      <c r="E15" s="12">
        <f>Dataset!T11</f>
        <v>67.900000000000006</v>
      </c>
      <c r="F15" s="8">
        <f>Dataset!V11</f>
        <v>33.799999999999997</v>
      </c>
    </row>
    <row r="16" spans="1:7" ht="15" x14ac:dyDescent="0.25">
      <c r="A16" s="7" t="s">
        <v>20</v>
      </c>
      <c r="B16" s="12">
        <f>Dataset!G12</f>
        <v>0</v>
      </c>
      <c r="C16" s="12">
        <f>Dataset!N12</f>
        <v>0</v>
      </c>
      <c r="D16" s="12">
        <f>Dataset!R12</f>
        <v>0</v>
      </c>
      <c r="E16" s="12">
        <f>Dataset!T12</f>
        <v>0</v>
      </c>
      <c r="F16" s="8">
        <f>Dataset!V12</f>
        <v>0</v>
      </c>
    </row>
    <row r="17" spans="1:6" ht="15" x14ac:dyDescent="0.25">
      <c r="A17" s="7" t="s">
        <v>22</v>
      </c>
      <c r="B17" s="12">
        <f>Dataset!G13</f>
        <v>21.9</v>
      </c>
      <c r="C17" s="12">
        <f>Dataset!N13</f>
        <v>61.5</v>
      </c>
      <c r="D17" s="12">
        <f>Dataset!R13</f>
        <v>40.1</v>
      </c>
      <c r="E17" s="12">
        <f>Dataset!T13</f>
        <v>76.599999999999994</v>
      </c>
      <c r="F17" s="8">
        <f>Dataset!V13</f>
        <v>40.1</v>
      </c>
    </row>
    <row r="18" spans="1:6" ht="15" x14ac:dyDescent="0.25">
      <c r="A18" s="7" t="s">
        <v>23</v>
      </c>
      <c r="B18" s="12">
        <f>Dataset!G14</f>
        <v>23.5</v>
      </c>
      <c r="C18" s="12">
        <f>Dataset!N14</f>
        <v>70.8</v>
      </c>
      <c r="D18" s="12">
        <f>Dataset!R14</f>
        <v>42.7</v>
      </c>
      <c r="E18" s="12">
        <f>Dataset!T14</f>
        <v>86.6</v>
      </c>
      <c r="F18" s="8">
        <f>Dataset!V14</f>
        <v>42.7</v>
      </c>
    </row>
    <row r="19" spans="1:6" ht="15" x14ac:dyDescent="0.25">
      <c r="A19" s="7" t="s">
        <v>24</v>
      </c>
      <c r="B19" s="12">
        <f>Dataset!G15</f>
        <v>26.8</v>
      </c>
      <c r="C19" s="12">
        <f>Dataset!N15</f>
        <v>79.599999999999994</v>
      </c>
      <c r="D19" s="12">
        <f>Dataset!R15</f>
        <v>47.9</v>
      </c>
      <c r="E19" s="12">
        <f>Dataset!T15</f>
        <v>96.8</v>
      </c>
      <c r="F19" s="8">
        <f>Dataset!V15</f>
        <v>47.9</v>
      </c>
    </row>
    <row r="20" spans="1:6" ht="15" x14ac:dyDescent="0.25">
      <c r="A20" s="7" t="s">
        <v>28</v>
      </c>
      <c r="B20" s="12">
        <f>Dataset!G16</f>
        <v>28</v>
      </c>
      <c r="C20" s="12">
        <f>Dataset!N16</f>
        <v>83.2</v>
      </c>
      <c r="D20" s="12">
        <f>Dataset!R16</f>
        <v>50.1</v>
      </c>
      <c r="E20" s="12">
        <f>Dataset!T16</f>
        <v>101.3</v>
      </c>
      <c r="F20" s="8">
        <f>Dataset!V16</f>
        <v>50.1</v>
      </c>
    </row>
    <row r="21" spans="1:6" ht="15" x14ac:dyDescent="0.25">
      <c r="A21" s="7" t="s">
        <v>57</v>
      </c>
      <c r="B21" s="12">
        <f>Dataset!G17</f>
        <v>28.5</v>
      </c>
      <c r="C21" s="12">
        <f>Dataset!N17</f>
        <v>85.4</v>
      </c>
      <c r="D21" s="12">
        <f>Dataset!R17</f>
        <v>52.3</v>
      </c>
      <c r="E21" s="12">
        <f>Dataset!T17</f>
        <v>106.1</v>
      </c>
      <c r="F21" s="8">
        <f>Dataset!V17</f>
        <v>52.3</v>
      </c>
    </row>
    <row r="22" spans="1:6" ht="15" x14ac:dyDescent="0.25">
      <c r="A22" s="7" t="s">
        <v>58</v>
      </c>
      <c r="B22" s="12">
        <f>Dataset!G18</f>
        <v>29.1</v>
      </c>
      <c r="C22" s="12">
        <f>Dataset!N18</f>
        <v>87.6</v>
      </c>
      <c r="D22" s="12">
        <f>Dataset!R18</f>
        <v>53.7</v>
      </c>
      <c r="E22" s="12">
        <f>Dataset!T18</f>
        <v>108.8</v>
      </c>
      <c r="F22" s="8">
        <f>Dataset!V18</f>
        <v>53.7</v>
      </c>
    </row>
    <row r="23" spans="1:6" ht="15" x14ac:dyDescent="0.25">
      <c r="A23" s="7" t="s">
        <v>31</v>
      </c>
      <c r="B23" s="12">
        <f>Dataset!G19</f>
        <v>30.7</v>
      </c>
      <c r="C23" s="12">
        <f>Dataset!N19</f>
        <v>92.1</v>
      </c>
      <c r="D23" s="12">
        <f>Dataset!R19</f>
        <v>57</v>
      </c>
      <c r="E23" s="12">
        <f>Dataset!T19</f>
        <v>115.1</v>
      </c>
      <c r="F23" s="8">
        <f>Dataset!V19</f>
        <v>57</v>
      </c>
    </row>
    <row r="24" spans="1:6" ht="15" x14ac:dyDescent="0.25">
      <c r="A24" s="7" t="s">
        <v>32</v>
      </c>
      <c r="B24" s="12">
        <f>Dataset!G20</f>
        <v>33.799999999999997</v>
      </c>
      <c r="C24" s="12">
        <f>Dataset!N20</f>
        <v>101.3</v>
      </c>
      <c r="D24" s="12">
        <f>Dataset!R20</f>
        <v>61.4</v>
      </c>
      <c r="E24" s="12">
        <f>Dataset!T20</f>
        <v>124.4</v>
      </c>
      <c r="F24" s="8">
        <f>Dataset!V20</f>
        <v>61.4</v>
      </c>
    </row>
    <row r="25" spans="1:6" ht="15" x14ac:dyDescent="0.25">
      <c r="A25" s="7" t="s">
        <v>34</v>
      </c>
      <c r="B25" s="12">
        <f>Dataset!G21</f>
        <v>34.700000000000003</v>
      </c>
      <c r="C25" s="12">
        <f>Dataset!N21</f>
        <v>106.1</v>
      </c>
      <c r="D25" s="12">
        <f>Dataset!R21</f>
        <v>63.6</v>
      </c>
      <c r="E25" s="12">
        <f>Dataset!T21</f>
        <v>128.6</v>
      </c>
      <c r="F25" s="8">
        <f>Dataset!V21</f>
        <v>63.6</v>
      </c>
    </row>
    <row r="26" spans="1:6" ht="15" x14ac:dyDescent="0.25">
      <c r="A26" s="7" t="s">
        <v>37</v>
      </c>
      <c r="B26" s="12">
        <f>Dataset!G22</f>
        <v>36.5</v>
      </c>
      <c r="C26" s="12">
        <f>Dataset!N22</f>
        <v>110.3</v>
      </c>
      <c r="D26" s="12">
        <f>Dataset!R22</f>
        <v>65.900000000000006</v>
      </c>
      <c r="E26" s="12">
        <f>Dataset!T22</f>
        <v>133.4</v>
      </c>
      <c r="F26" s="8">
        <f>Dataset!V22</f>
        <v>65.900000000000006</v>
      </c>
    </row>
    <row r="27" spans="1:6" ht="15" x14ac:dyDescent="0.25">
      <c r="A27" s="7" t="s">
        <v>39</v>
      </c>
      <c r="B27" s="12">
        <f>Dataset!G23</f>
        <v>38</v>
      </c>
      <c r="C27" s="12">
        <f>Dataset!N23</f>
        <v>115.5</v>
      </c>
      <c r="D27" s="12">
        <f>Dataset!R23</f>
        <v>68.7</v>
      </c>
      <c r="E27" s="12">
        <f>Dataset!T23</f>
        <v>138.80000000000001</v>
      </c>
      <c r="F27" s="8">
        <f>Dataset!V23</f>
        <v>68.7</v>
      </c>
    </row>
    <row r="28" spans="1:6" ht="15" x14ac:dyDescent="0.25">
      <c r="A28" s="19" t="s">
        <v>80</v>
      </c>
      <c r="B28" s="31">
        <f>MIN(B6:B27)</f>
        <v>0</v>
      </c>
      <c r="C28" s="31">
        <f>MIN(C6:C27)</f>
        <v>0</v>
      </c>
      <c r="D28" s="31">
        <f>MIN(D6:D27)</f>
        <v>0</v>
      </c>
      <c r="E28" s="31">
        <f>MIN(E6:E27)</f>
        <v>0</v>
      </c>
      <c r="F28" s="31">
        <f>MIN(F6:F27)</f>
        <v>0</v>
      </c>
    </row>
    <row r="29" spans="1:6" ht="15" x14ac:dyDescent="0.25">
      <c r="A29" s="19" t="s">
        <v>81</v>
      </c>
      <c r="B29" s="31">
        <f>MAX(B6:B28)</f>
        <v>38</v>
      </c>
      <c r="C29" s="31">
        <f>MAX(C6:C28)</f>
        <v>115.5</v>
      </c>
      <c r="D29" s="31">
        <f>MAX(D6:D28)</f>
        <v>68.7</v>
      </c>
      <c r="E29" s="31">
        <f>MAX(E6:E28)</f>
        <v>138.80000000000001</v>
      </c>
      <c r="F29" s="31">
        <f>MAX(F6:F28)</f>
        <v>68.7</v>
      </c>
    </row>
    <row r="30" spans="1:6" ht="15" x14ac:dyDescent="0.25">
      <c r="A30" s="19" t="s">
        <v>82</v>
      </c>
      <c r="B30" s="31">
        <f>AVERAGE(B6:B29)</f>
        <v>18.858333333333334</v>
      </c>
      <c r="C30" s="31">
        <f>AVERAGE(C6:C29)</f>
        <v>56.50416666666667</v>
      </c>
      <c r="D30" s="31">
        <f>AVERAGE(D6:D29)</f>
        <v>34.104166666666671</v>
      </c>
      <c r="E30" s="31">
        <f>AVERAGE(E6:E29)</f>
        <v>68.899999999999991</v>
      </c>
      <c r="F30" s="31">
        <f>AVERAGE(F6:F29)</f>
        <v>34.104166666666671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0" zoomScaleNormal="100" workbookViewId="0">
      <selection activeCell="E8" sqref="E8"/>
    </sheetView>
  </sheetViews>
  <sheetFormatPr defaultColWidth="11" defaultRowHeight="15" x14ac:dyDescent="0.25"/>
  <cols>
    <col min="1" max="1" width="39.83203125" style="1" bestFit="1" customWidth="1"/>
    <col min="2" max="2" width="12.6640625" style="1" customWidth="1"/>
    <col min="3" max="3" width="14.6640625" style="1" customWidth="1"/>
    <col min="4" max="5" width="12.1640625" style="1" customWidth="1"/>
    <col min="6" max="16384" width="11" style="1"/>
  </cols>
  <sheetData>
    <row r="1" spans="1:10" s="41" customFormat="1" ht="21" x14ac:dyDescent="0.35">
      <c r="A1" s="42" t="s">
        <v>56</v>
      </c>
      <c r="B1" s="41" t="s">
        <v>172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149</v>
      </c>
    </row>
    <row r="5" spans="1:10" ht="18.75" x14ac:dyDescent="0.3">
      <c r="A5" s="43" t="s">
        <v>53</v>
      </c>
      <c r="B5" s="40" t="s">
        <v>178</v>
      </c>
    </row>
    <row r="6" spans="1:10" ht="18.75" x14ac:dyDescent="0.3">
      <c r="A6" s="43" t="s">
        <v>151</v>
      </c>
      <c r="B6" s="40" t="s">
        <v>179</v>
      </c>
    </row>
    <row r="7" spans="1:10" ht="18.75" x14ac:dyDescent="0.3">
      <c r="A7" s="43"/>
      <c r="B7" s="40"/>
    </row>
    <row r="9" spans="1:10" ht="23.25" x14ac:dyDescent="0.35">
      <c r="A9" s="18" t="s">
        <v>163</v>
      </c>
      <c r="I9" s="2"/>
      <c r="J9" s="2"/>
    </row>
    <row r="10" spans="1:10" x14ac:dyDescent="0.25">
      <c r="A10" s="33" t="s">
        <v>100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119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160</v>
      </c>
    </row>
    <row r="15" spans="1:10" x14ac:dyDescent="0.25">
      <c r="A15" s="14" t="s">
        <v>101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119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120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121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122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123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124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125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126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127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128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129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130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131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132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133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134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135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136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137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138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139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140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141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142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143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144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145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146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147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148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110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111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112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113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114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115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116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117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118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2" zoomScaleNormal="100" workbookViewId="0">
      <selection activeCell="B8" sqref="B8"/>
    </sheetView>
  </sheetViews>
  <sheetFormatPr defaultColWidth="11" defaultRowHeight="12.75" x14ac:dyDescent="0.2"/>
  <cols>
    <col min="1" max="1" width="28.1640625" style="2" bestFit="1" customWidth="1"/>
    <col min="2" max="2" width="18" style="2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83</v>
      </c>
      <c r="B1" s="41" t="s">
        <v>165</v>
      </c>
    </row>
    <row r="2" spans="1:3" ht="18.75" x14ac:dyDescent="0.3">
      <c r="B2" s="40" t="s">
        <v>164</v>
      </c>
    </row>
    <row r="5" spans="1:3" ht="15" x14ac:dyDescent="0.25">
      <c r="B5" s="1" t="s">
        <v>149</v>
      </c>
    </row>
    <row r="6" spans="1:3" ht="15" x14ac:dyDescent="0.25">
      <c r="A6" s="3" t="s">
        <v>53</v>
      </c>
      <c r="B6" s="1" t="s">
        <v>182</v>
      </c>
    </row>
    <row r="7" spans="1:3" ht="15" x14ac:dyDescent="0.25">
      <c r="A7" s="3" t="s">
        <v>151</v>
      </c>
      <c r="B7" s="1" t="s">
        <v>183</v>
      </c>
    </row>
    <row r="10" spans="1:3" ht="23.25" x14ac:dyDescent="0.35">
      <c r="A10" s="18" t="s">
        <v>160</v>
      </c>
    </row>
    <row r="11" spans="1:3" ht="15" x14ac:dyDescent="0.25">
      <c r="A11" s="32" t="s">
        <v>84</v>
      </c>
      <c r="B11" s="17" t="s">
        <v>85</v>
      </c>
      <c r="C11" s="17" t="s">
        <v>86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152</v>
      </c>
      <c r="C17" s="17">
        <v>150</v>
      </c>
    </row>
    <row r="18" spans="1:3" ht="15" x14ac:dyDescent="0.25">
      <c r="A18" s="32">
        <v>44933</v>
      </c>
      <c r="B18" s="17" t="s">
        <v>153</v>
      </c>
      <c r="C18" s="17">
        <v>80</v>
      </c>
    </row>
    <row r="19" spans="1:3" ht="15" x14ac:dyDescent="0.25">
      <c r="A19" s="32">
        <v>44934</v>
      </c>
      <c r="B19" s="17" t="s">
        <v>154</v>
      </c>
      <c r="C19" s="17" t="e">
        <v>#N/A</v>
      </c>
    </row>
    <row r="20" spans="1:3" ht="15" x14ac:dyDescent="0.25">
      <c r="A20" s="32">
        <v>44935</v>
      </c>
      <c r="B20" s="17" t="s">
        <v>155</v>
      </c>
      <c r="C20" s="17">
        <v>30</v>
      </c>
    </row>
    <row r="21" spans="1:3" ht="15" x14ac:dyDescent="0.25">
      <c r="A21" s="32">
        <v>44936</v>
      </c>
      <c r="B21" s="17" t="s">
        <v>156</v>
      </c>
      <c r="C21" s="17" t="e">
        <v>#N/A</v>
      </c>
    </row>
    <row r="22" spans="1:3" ht="15" x14ac:dyDescent="0.25">
      <c r="B22" s="17" t="s">
        <v>157</v>
      </c>
      <c r="C22" s="25" cm="1">
        <f t="array" ref="C22">SUM(IF(ISNA(C12:C21),20,C12:C21))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H8" sqref="H8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96</v>
      </c>
      <c r="B1" s="41" t="s">
        <v>173</v>
      </c>
    </row>
    <row r="3" spans="1:14" ht="15" x14ac:dyDescent="0.25">
      <c r="B3" s="1" t="s">
        <v>149</v>
      </c>
    </row>
    <row r="4" spans="1:14" ht="18.75" x14ac:dyDescent="0.3">
      <c r="A4" s="43" t="s">
        <v>53</v>
      </c>
      <c r="B4" s="1"/>
      <c r="C4" s="2" t="s">
        <v>180</v>
      </c>
    </row>
    <row r="5" spans="1:14" ht="18.75" x14ac:dyDescent="0.3">
      <c r="A5" s="43" t="s">
        <v>151</v>
      </c>
      <c r="B5" s="1"/>
      <c r="C5" s="2" t="s">
        <v>181</v>
      </c>
    </row>
    <row r="6" spans="1:14" ht="15" x14ac:dyDescent="0.25">
      <c r="A6" s="3"/>
      <c r="B6" s="1"/>
    </row>
    <row r="8" spans="1:14" ht="23.25" x14ac:dyDescent="0.35">
      <c r="A8" s="18" t="s">
        <v>160</v>
      </c>
      <c r="M8" s="18" t="s">
        <v>161</v>
      </c>
    </row>
    <row r="9" spans="1:14" ht="15" x14ac:dyDescent="0.25">
      <c r="A9" s="26"/>
      <c r="B9" s="26" t="s">
        <v>87</v>
      </c>
      <c r="C9" s="26" t="s">
        <v>88</v>
      </c>
      <c r="D9" s="26" t="s">
        <v>89</v>
      </c>
      <c r="E9" s="26" t="s">
        <v>90</v>
      </c>
      <c r="F9" s="26" t="s">
        <v>91</v>
      </c>
      <c r="G9" s="26" t="s">
        <v>92</v>
      </c>
      <c r="H9" s="26" t="s">
        <v>93</v>
      </c>
      <c r="I9" s="26" t="s">
        <v>94</v>
      </c>
      <c r="J9" s="26" t="s">
        <v>95</v>
      </c>
      <c r="M9" s="19" t="s">
        <v>43</v>
      </c>
      <c r="N9" s="19" t="s">
        <v>97</v>
      </c>
    </row>
    <row r="10" spans="1:14" ht="15" x14ac:dyDescent="0.25">
      <c r="A10" s="26" t="s">
        <v>87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87</v>
      </c>
    </row>
    <row r="11" spans="1:14" ht="15" x14ac:dyDescent="0.25">
      <c r="A11" s="26" t="s">
        <v>88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88</v>
      </c>
    </row>
    <row r="12" spans="1:14" ht="15" x14ac:dyDescent="0.25">
      <c r="A12" s="26" t="s">
        <v>89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89</v>
      </c>
    </row>
    <row r="13" spans="1:14" ht="15" x14ac:dyDescent="0.25">
      <c r="A13" s="26" t="s">
        <v>90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90</v>
      </c>
    </row>
    <row r="14" spans="1:14" ht="15" x14ac:dyDescent="0.25">
      <c r="A14" s="26" t="s">
        <v>91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91</v>
      </c>
    </row>
    <row r="15" spans="1:14" ht="15" x14ac:dyDescent="0.25">
      <c r="A15" s="26" t="s">
        <v>92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92</v>
      </c>
    </row>
    <row r="16" spans="1:14" ht="15" x14ac:dyDescent="0.25">
      <c r="A16" s="26" t="s">
        <v>93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93</v>
      </c>
    </row>
    <row r="17" spans="1:14" ht="15" x14ac:dyDescent="0.25">
      <c r="A17" s="26" t="s">
        <v>94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94</v>
      </c>
    </row>
    <row r="18" spans="1:14" ht="15" x14ac:dyDescent="0.25">
      <c r="A18" s="26" t="s">
        <v>95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95</v>
      </c>
    </row>
    <row r="21" spans="1:14" ht="23.25" x14ac:dyDescent="0.35">
      <c r="A21" s="18" t="s">
        <v>166</v>
      </c>
    </row>
    <row r="22" spans="1:14" ht="15" x14ac:dyDescent="0.25">
      <c r="A22" s="14" t="s">
        <v>98</v>
      </c>
      <c r="B22" s="17" t="s">
        <v>99</v>
      </c>
      <c r="C22" s="16" t="s">
        <v>100</v>
      </c>
    </row>
    <row r="23" spans="1:14" ht="15" x14ac:dyDescent="0.25">
      <c r="A23" s="7">
        <v>10100</v>
      </c>
      <c r="B23" s="12">
        <v>10102</v>
      </c>
      <c r="C23" s="44">
        <f>INDEX($B$10:$J$18, MATCH(VLOOKUP(A23, $M$9:$N$18, 2, FALSE), $A$10:$A$18, 0), MATCH(VLOOKUP(B23, $M$9:$N$18, 2, FALSE), $A$10:$A$18, 0))</f>
        <v>95</v>
      </c>
    </row>
    <row r="24" spans="1:14" ht="15" x14ac:dyDescent="0.25">
      <c r="A24" s="7">
        <v>10100</v>
      </c>
      <c r="B24" s="12">
        <v>10104</v>
      </c>
      <c r="C24" s="44">
        <f t="shared" ref="C24:C35" si="0">INDEX($B$10:$J$18, MATCH(VLOOKUP(A24, $M$9:$N$18, 2, FALSE), $A$10:$A$18, 0), MATCH(VLOOKUP(B24, $M$9:$N$18, 2, FALSE), $A$10:$A$18, 0))</f>
        <v>-1</v>
      </c>
    </row>
    <row r="25" spans="1:14" ht="15" x14ac:dyDescent="0.25">
      <c r="A25" s="7">
        <v>10108</v>
      </c>
      <c r="B25" s="12">
        <v>10102</v>
      </c>
      <c r="C25" s="44">
        <f t="shared" si="0"/>
        <v>160</v>
      </c>
    </row>
    <row r="26" spans="1:14" ht="15" x14ac:dyDescent="0.25">
      <c r="A26" s="7">
        <v>10100</v>
      </c>
      <c r="B26" s="12">
        <v>10106</v>
      </c>
      <c r="C26" s="44">
        <f t="shared" si="0"/>
        <v>185</v>
      </c>
    </row>
    <row r="27" spans="1:14" ht="15" x14ac:dyDescent="0.25">
      <c r="A27" s="7">
        <v>10108</v>
      </c>
      <c r="B27" s="12">
        <v>10110</v>
      </c>
      <c r="C27" s="44">
        <f t="shared" si="0"/>
        <v>50</v>
      </c>
    </row>
    <row r="28" spans="1:14" ht="15" x14ac:dyDescent="0.25">
      <c r="A28" s="7">
        <v>10102</v>
      </c>
      <c r="B28" s="12">
        <v>10104</v>
      </c>
      <c r="C28" s="44">
        <f t="shared" si="0"/>
        <v>-1</v>
      </c>
    </row>
    <row r="29" spans="1:14" ht="15" x14ac:dyDescent="0.25">
      <c r="A29" s="7">
        <v>10106</v>
      </c>
      <c r="B29" s="12">
        <v>10108</v>
      </c>
      <c r="C29" s="44">
        <f t="shared" si="0"/>
        <v>70</v>
      </c>
    </row>
    <row r="30" spans="1:14" ht="15" x14ac:dyDescent="0.25">
      <c r="A30" s="7">
        <v>10102</v>
      </c>
      <c r="B30" s="12">
        <v>10106</v>
      </c>
      <c r="C30" s="44">
        <f t="shared" si="0"/>
        <v>90</v>
      </c>
    </row>
    <row r="31" spans="1:14" ht="15" x14ac:dyDescent="0.25">
      <c r="A31" s="7">
        <v>10110</v>
      </c>
      <c r="B31" s="12">
        <v>10114</v>
      </c>
      <c r="C31" s="44">
        <f t="shared" si="0"/>
        <v>180</v>
      </c>
    </row>
    <row r="32" spans="1:14" ht="15" x14ac:dyDescent="0.25">
      <c r="A32" s="7">
        <v>10104</v>
      </c>
      <c r="B32" s="12">
        <v>10106</v>
      </c>
      <c r="C32" s="44">
        <f t="shared" si="0"/>
        <v>60</v>
      </c>
    </row>
    <row r="33" spans="1:3" ht="15" x14ac:dyDescent="0.25">
      <c r="A33" s="7">
        <v>10110</v>
      </c>
      <c r="B33" s="12">
        <v>10112</v>
      </c>
      <c r="C33" s="44">
        <f t="shared" si="0"/>
        <v>115</v>
      </c>
    </row>
    <row r="34" spans="1:3" ht="15" x14ac:dyDescent="0.25">
      <c r="A34" s="7">
        <v>10100</v>
      </c>
      <c r="B34" s="12">
        <v>10114</v>
      </c>
      <c r="C34" s="44">
        <f t="shared" si="0"/>
        <v>480</v>
      </c>
    </row>
    <row r="35" spans="1:3" ht="15" x14ac:dyDescent="0.25">
      <c r="A35" s="9">
        <v>10112</v>
      </c>
      <c r="B35" s="13">
        <v>10116</v>
      </c>
      <c r="C35" s="48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sona ajay</cp:lastModifiedBy>
  <dcterms:created xsi:type="dcterms:W3CDTF">2015-02-10T17:33:11Z</dcterms:created>
  <dcterms:modified xsi:type="dcterms:W3CDTF">2023-12-09T05:19:15Z</dcterms:modified>
</cp:coreProperties>
</file>